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" sheetId="1" r:id="rId4"/>
    <sheet state="visible" name="Hardware" sheetId="2" r:id="rId5"/>
    <sheet state="visible" name="Color  code" sheetId="3" r:id="rId6"/>
    <sheet state="visible" name="PCB components" sheetId="4" r:id="rId7"/>
    <sheet state="visible" name="PCB_BOM" sheetId="5" r:id="rId8"/>
  </sheets>
  <definedNames/>
  <calcPr/>
</workbook>
</file>

<file path=xl/sharedStrings.xml><?xml version="1.0" encoding="utf-8"?>
<sst xmlns="http://schemas.openxmlformats.org/spreadsheetml/2006/main" count="428" uniqueCount="248">
  <si>
    <t>material</t>
  </si>
  <si>
    <t>#</t>
  </si>
  <si>
    <t>Price</t>
  </si>
  <si>
    <t>Notes</t>
  </si>
  <si>
    <t>Hardware store</t>
  </si>
  <si>
    <t>the items below are comprised in this price</t>
  </si>
  <si>
    <t>gray cement</t>
  </si>
  <si>
    <t>2kg</t>
  </si>
  <si>
    <t>M4x1m threaded rods</t>
  </si>
  <si>
    <t>M8x1m threaded rods</t>
  </si>
  <si>
    <t xml:space="preserve">5 are actually required but you might lose a bit when cutting </t>
  </si>
  <si>
    <t>M8 nuts</t>
  </si>
  <si>
    <t>35.7*50mm with 8 or 12mm shaft 12V DC motor (high RPM)</t>
  </si>
  <si>
    <t>coupler clamp stepper servo motor coupling D20L25 5x8x25mm</t>
  </si>
  <si>
    <t xml:space="preserve">You should use rigid couplers not the springy ones </t>
  </si>
  <si>
    <t>28BYJ-48 12V 4 Phase DC Gear Stepper Motor + ULN2003 Driver Board</t>
  </si>
  <si>
    <t>sd reader</t>
  </si>
  <si>
    <t>8mm*20cm rods</t>
  </si>
  <si>
    <t>you will have to cut one in half or buy 4 20mm and 2 10mm</t>
  </si>
  <si>
    <t>M3 hex socket scew and washer set</t>
  </si>
  <si>
    <t xml:space="preserve">LM8 LM8UU linear bearing </t>
  </si>
  <si>
    <t>Arduino nano</t>
  </si>
  <si>
    <t>3.17 to 3.17mm coupler</t>
  </si>
  <si>
    <t>the price is for 5</t>
  </si>
  <si>
    <t xml:space="preserve">PWM Motor speed controller </t>
  </si>
  <si>
    <t>You could easily either skip this or get a way cheaper one</t>
  </si>
  <si>
    <t>PLA</t>
  </si>
  <si>
    <t>It should take you less than 2 spools but more than 1, in 
bundles of 2 spools I can easily find them for 25€ on amazon</t>
  </si>
  <si>
    <t>DC-DC step down module (12V to 5V)</t>
  </si>
  <si>
    <t>limit switches 12x6mm</t>
  </si>
  <si>
    <t>this is the price for 10 on aliexpress</t>
  </si>
  <si>
    <t>relay module</t>
  </si>
  <si>
    <t>12V 10 amp PSU (you should be fine with a bit more than 5)</t>
  </si>
  <si>
    <t>I used a PC power supply, you can easily find them even for free</t>
  </si>
  <si>
    <t>Bike Quick Release Skewer Springs</t>
  </si>
  <si>
    <t>I've also tested stiffer springs with no improvement so these are the best to install and easiest to find</t>
  </si>
  <si>
    <t>Strong Crystal Fishing Line PE Nylon 0.6mm</t>
  </si>
  <si>
    <t>1 spool</t>
  </si>
  <si>
    <t>heatset inserts</t>
  </si>
  <si>
    <t>T8 lead screw 20cm lead 8mm</t>
  </si>
  <si>
    <t>T8 lead screw 10cm lead 8mm</t>
  </si>
  <si>
    <t>T8 anti backlash nut lead 8mm</t>
  </si>
  <si>
    <t>ball bearing 608ZZ</t>
  </si>
  <si>
    <t>the price is for 10</t>
  </si>
  <si>
    <t xml:space="preserve">tot </t>
  </si>
  <si>
    <t>euros</t>
  </si>
  <si>
    <t>PCB making supplies</t>
  </si>
  <si>
    <t>0.1mm engraving bits</t>
  </si>
  <si>
    <t>I suggest using the ones with a spiralized point, they are more 
expensive</t>
  </si>
  <si>
    <t>0.8mm drilling bits</t>
  </si>
  <si>
    <t>Copperclad boards 7x10cm FR1</t>
  </si>
  <si>
    <t xml:space="preserve">Solder mask </t>
  </si>
  <si>
    <t>10cc</t>
  </si>
  <si>
    <t>UV nail curing machine</t>
  </si>
  <si>
    <t>printable transparent sheets</t>
  </si>
  <si>
    <t>tot</t>
  </si>
  <si>
    <t>Folder</t>
  </si>
  <si>
    <t>Model</t>
  </si>
  <si>
    <t># of parts</t>
  </si>
  <si>
    <t>Heatset inserts(total)</t>
  </si>
  <si>
    <t xml:space="preserve">Other hardware(total) </t>
  </si>
  <si>
    <t>Hardware notes</t>
  </si>
  <si>
    <t>Printing notes</t>
  </si>
  <si>
    <t>Electronics</t>
  </si>
  <si>
    <t>circuit_panel</t>
  </si>
  <si>
    <t>4xM8 nuts</t>
  </si>
  <si>
    <t>motor_speed_controller_base</t>
  </si>
  <si>
    <t>Speed_controller_holder</t>
  </si>
  <si>
    <t>4xM3 nuts
4xM3*10 screw</t>
  </si>
  <si>
    <t>Frame</t>
  </si>
  <si>
    <t>diag1</t>
  </si>
  <si>
    <t>4xM8 nuts
2x 36cm M8 threaded rod</t>
  </si>
  <si>
    <t>diag2</t>
  </si>
  <si>
    <t>2xM8 nuts</t>
  </si>
  <si>
    <t>2 of the M8 nuts are the 
same as the ones in 
"circuit_panel"</t>
  </si>
  <si>
    <t>foot</t>
  </si>
  <si>
    <t xml:space="preserve">12xM8 nut
4x 6cm M8 threaded rod </t>
  </si>
  <si>
    <t>outer_frame_corner_piece</t>
  </si>
  <si>
    <t>20xM8 nut</t>
  </si>
  <si>
    <t>outer_frame_pillar</t>
  </si>
  <si>
    <t>4x30cm M8 threaded rod
cement**</t>
  </si>
  <si>
    <t>outer_frame_pillar_w_inserts</t>
  </si>
  <si>
    <t>outer_frame_top_corner_piece</t>
  </si>
  <si>
    <t>8xM8 nut</t>
  </si>
  <si>
    <t>outer_frame_z_pillar</t>
  </si>
  <si>
    <t>2x30cm M8 threaded rod
cement**</t>
  </si>
  <si>
    <t>vertical_pillar</t>
  </si>
  <si>
    <t>4x25cm  M8 threaded rod
cement**</t>
  </si>
  <si>
    <t>X_assembly</t>
  </si>
  <si>
    <t>Bed</t>
  </si>
  <si>
    <t>1x large cup washer*
6x M3*10 screw
4x M3*10mm washer
4x M3*8 screw</t>
  </si>
  <si>
    <t>bed_locking_tabs</t>
  </si>
  <si>
    <t>nut_frame</t>
  </si>
  <si>
    <t>3xT8 antibacklash nut
12xM3*8mm screw</t>
  </si>
  <si>
    <t>X_bearing_end</t>
  </si>
  <si>
    <t>608zz ball bearing (8x22x7mm) 
2xM3*10mm screw
2xM3*10mm washer
1xlimit switch 12x6mm</t>
  </si>
  <si>
    <t>X_bellow</t>
  </si>
  <si>
    <t xml:space="preserve">Hot glue
1mm fishing line or similar </t>
  </si>
  <si>
    <t>The bellows were a bit 
rushed I would like to revisit
them in a new version, they 
need to be hot glued</t>
  </si>
  <si>
    <t xml:space="preserve">X_body </t>
  </si>
  <si>
    <t>4xM3*8mm screw</t>
  </si>
  <si>
    <t>X_body_reinf</t>
  </si>
  <si>
    <t>1*</t>
  </si>
  <si>
    <t>4xM3*10mm screw</t>
  </si>
  <si>
    <t>*This is a reinforced version
of the normal body, it 
I am currently using this 
but i do not think it improved
anything and it makes it 
harder to mount</t>
  </si>
  <si>
    <t>X_linear_bearing_holder</t>
  </si>
  <si>
    <t>8xM3*20mm screw</t>
  </si>
  <si>
    <t>X_motor_end</t>
  </si>
  <si>
    <t>2xM3*10mm screw
2xM3*15mm screw
2xM3 nut</t>
  </si>
  <si>
    <t>Y_assembly</t>
  </si>
  <si>
    <t>Y_bellow</t>
  </si>
  <si>
    <t>Y_base</t>
  </si>
  <si>
    <t>2x6cm M4 threaded rod 
4xM3*8mm screw</t>
  </si>
  <si>
    <t>*I did put holes to reinforce it
a ton but it is very inconvinient
and not that helpfull, I would 
only add two small threaded 
rod pieces to the two most inner
dedicated holes</t>
  </si>
  <si>
    <t>Y_bearing_mount</t>
  </si>
  <si>
    <t>608zz ball bearing (8x22x7mm) 
2xM3*10mm screw</t>
  </si>
  <si>
    <t>Y_linear_bearing_holder</t>
  </si>
  <si>
    <t>8xM3*25mm screw</t>
  </si>
  <si>
    <t>I did add 6 holes but I ended up 
using 4</t>
  </si>
  <si>
    <t>Y_rod_mount_1</t>
  </si>
  <si>
    <t>2xM3*10mm screw</t>
  </si>
  <si>
    <t>Y_rod_mount_2</t>
  </si>
  <si>
    <t>Y_limit_switch</t>
  </si>
  <si>
    <t>2xM3*10mm screw
6*12mm limit switch</t>
  </si>
  <si>
    <t>Y_motor_mount</t>
  </si>
  <si>
    <t>2xM3*10mm screw
2xM3*8mm screw
2xM3*15mm scew
2xM3 nut</t>
  </si>
  <si>
    <t>Z_assembly</t>
  </si>
  <si>
    <t>main_motor_z_mount</t>
  </si>
  <si>
    <t>4 x M3*12mm screw
2 x M3*8mm screw
1 M3*10mm washer
1xM3*30mm screw</t>
  </si>
  <si>
    <t>Z_backplate</t>
  </si>
  <si>
    <t>2xM4*11cm threaded rod
4xM4*5.5cm threaded rod*
6xM3*15mm screw
6xM3*10mm washer</t>
  </si>
  <si>
    <t xml:space="preserve">*you are meant to scew then 
hammer in the rods to reinforce
the plate, it is a bit tedious </t>
  </si>
  <si>
    <t>z_bearing_mount</t>
  </si>
  <si>
    <t>Z_guard</t>
  </si>
  <si>
    <t>this folds and clips onto the 
screws of the linear bearing 
holder</t>
  </si>
  <si>
    <t>Z_linear_bearing_holder</t>
  </si>
  <si>
    <t>8xM3*25mm scew</t>
  </si>
  <si>
    <t>Z_body_reinf</t>
  </si>
  <si>
    <t>Z_stepper_mount</t>
  </si>
  <si>
    <t>2xM3*10mm screw
2xM3*10mm washer
2xM3*8mm screw
2xM3*15mm scew
2xM3 nut</t>
  </si>
  <si>
    <t>Z_body</t>
  </si>
  <si>
    <t>total</t>
  </si>
  <si>
    <t>56 x M8 nuts
2 x 36cm M8 threaded rod
2 x 6cm M8 threaded rod
10 x 30cm M8 threaded rod
4 x 25cm M8 threaded rod
32 x M3*10mm screw
30 x M3*8mm screw
24 x M3*25mm screw
1 x M3*30mm screw
12 x M3*15mm screw
10 x M3 nuts
17 x M3*10mm washer
2 x M4*11cm threaded rod
4 x M4*5.5cm threaded rod
2 x 6cm M4 threaded rod
1 x large cup washer
3 x T8 antibacklash nut
3 x 608zz ball bearing(8x22x7mm)
3 x limit switch 12x6mm
cement
hot glue
fishing line or similar</t>
  </si>
  <si>
    <t>Hardware</t>
  </si>
  <si>
    <t>color</t>
  </si>
  <si>
    <t>preview.blend</t>
  </si>
  <si>
    <t>PLA parts (they all have their name)</t>
  </si>
  <si>
    <t>M8*36cm threaded rod</t>
  </si>
  <si>
    <t>M8 nut</t>
  </si>
  <si>
    <t>M8*6cm threaded rod</t>
  </si>
  <si>
    <t>heated inserts</t>
  </si>
  <si>
    <t>M8*30cm threaded rod</t>
  </si>
  <si>
    <t>M3 nut</t>
  </si>
  <si>
    <t>M3*8 screw</t>
  </si>
  <si>
    <t>preview_x.blend</t>
  </si>
  <si>
    <t>8mm diameter 10cm rod</t>
  </si>
  <si>
    <t>T8 10 cm rod</t>
  </si>
  <si>
    <t>M3*10 screw</t>
  </si>
  <si>
    <t>M3 washer (10mm diameter)</t>
  </si>
  <si>
    <t>608ZZ ball bearing</t>
  </si>
  <si>
    <t>bed washer</t>
  </si>
  <si>
    <t>M3*15 screw</t>
  </si>
  <si>
    <t>M3*20 screw</t>
  </si>
  <si>
    <t>LM8UU linear bearing</t>
  </si>
  <si>
    <t>T8 antibacklash nut</t>
  </si>
  <si>
    <t>Stepper motor Coupler</t>
  </si>
  <si>
    <t>preview_y.blend</t>
  </si>
  <si>
    <t>T8 20 cm rod</t>
  </si>
  <si>
    <t>8mm diameter 20cm rod</t>
  </si>
  <si>
    <t>Limit switch</t>
  </si>
  <si>
    <t>M4*6cm threaded rod</t>
  </si>
  <si>
    <t>preview_z.blend</t>
  </si>
  <si>
    <t>Spindle</t>
  </si>
  <si>
    <t>M4 threaded rod 55mm</t>
  </si>
  <si>
    <t xml:space="preserve">M4 threaded rod 11cm </t>
  </si>
  <si>
    <t>Name</t>
  </si>
  <si>
    <t>Component</t>
  </si>
  <si>
    <t>Value</t>
  </si>
  <si>
    <t>R1</t>
  </si>
  <si>
    <t>Resistance</t>
  </si>
  <si>
    <t>1kΩ</t>
  </si>
  <si>
    <t>R2</t>
  </si>
  <si>
    <t>9.7kΩ</t>
  </si>
  <si>
    <t>R3</t>
  </si>
  <si>
    <t>4.7kΩ</t>
  </si>
  <si>
    <t>R4</t>
  </si>
  <si>
    <t>R5</t>
  </si>
  <si>
    <t>R6</t>
  </si>
  <si>
    <t>C1</t>
  </si>
  <si>
    <t>Ceramic capacitor</t>
  </si>
  <si>
    <t>10nF</t>
  </si>
  <si>
    <t>This is the cap you can desolder on the ULN board</t>
  </si>
  <si>
    <t>C2</t>
  </si>
  <si>
    <t>C3</t>
  </si>
  <si>
    <t>C4</t>
  </si>
  <si>
    <t>electrolytic capacitor</t>
  </si>
  <si>
    <t>470uF</t>
  </si>
  <si>
    <t>C5</t>
  </si>
  <si>
    <t>100nF</t>
  </si>
  <si>
    <t>C6</t>
  </si>
  <si>
    <t>1000uF</t>
  </si>
  <si>
    <t>Q1</t>
  </si>
  <si>
    <t xml:space="preserve">ULN2003 </t>
  </si>
  <si>
    <t>I suggest using the IC socket from the ULN board</t>
  </si>
  <si>
    <t>The bottom side of the IC is on the same side as the JST connector (the bottom left pad is a square)</t>
  </si>
  <si>
    <t>Q2</t>
  </si>
  <si>
    <t>Q3</t>
  </si>
  <si>
    <t>Ports</t>
  </si>
  <si>
    <t>Number</t>
  </si>
  <si>
    <t>JST 5 pin female connector</t>
  </si>
  <si>
    <t>Male pin header 6 pin</t>
  </si>
  <si>
    <t>Male pin header 3 pin</t>
  </si>
  <si>
    <t xml:space="preserve">JST 2 pin female connector </t>
  </si>
  <si>
    <t>Female pin header 15 pin</t>
  </si>
  <si>
    <t>Item #</t>
  </si>
  <si>
    <t>*Designator</t>
  </si>
  <si>
    <t>*Qty</t>
  </si>
  <si>
    <t>Manufacturer</t>
  </si>
  <si>
    <t>*Mfg Part #</t>
  </si>
  <si>
    <t>Description / Value</t>
  </si>
  <si>
    <t>*Package/Footprint</t>
  </si>
  <si>
    <t>Type</t>
  </si>
  <si>
    <t>Your Instructions / Notes</t>
  </si>
  <si>
    <t>Any</t>
  </si>
  <si>
    <t>Generic</t>
  </si>
  <si>
    <t>1kΩ +/-5% 0.25W</t>
  </si>
  <si>
    <t>DIN0207</t>
  </si>
  <si>
    <t>thru-hole</t>
  </si>
  <si>
    <t>9.7kΩ +/-5% 0.25W</t>
  </si>
  <si>
    <t>4.7kΩ +/-5% 0.25W</t>
  </si>
  <si>
    <t>10nF +/-20%, 25V ceramic capacitor</t>
  </si>
  <si>
    <t>Ceramic Disc 5mm pitch</t>
  </si>
  <si>
    <t>470uF +/-20%, 25V electrolytic capacitor</t>
  </si>
  <si>
    <t>Radial Ø8 mm 3.8mm pitch</t>
  </si>
  <si>
    <t>100nF +/-20%, 25V ceramic capacitor</t>
  </si>
  <si>
    <t>1000uF +/-20%, 25V electrolytic capacitor</t>
  </si>
  <si>
    <t>Texas Instruments</t>
  </si>
  <si>
    <t>ULN2003AN</t>
  </si>
  <si>
    <t>Darlington Transistor Array</t>
  </si>
  <si>
    <t>PDIP-16</t>
  </si>
  <si>
    <t>Possibly installed with a socket</t>
  </si>
  <si>
    <t>A1</t>
  </si>
  <si>
    <t>Female square pin header 1x15</t>
  </si>
  <si>
    <t>2.54mm pitch</t>
  </si>
  <si>
    <t>J13</t>
  </si>
  <si>
    <t>Male square pin header 1x3</t>
  </si>
  <si>
    <t>J8</t>
  </si>
  <si>
    <t>Male square pin header 1x6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</si>
</sst>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FF0000"/>
      <name val="Arial"/>
    </font>
    <font>
      <sz val="11.0"/>
      <color theme="1"/>
      <name val="Arial"/>
    </font>
    <font>
      <color theme="1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000000"/>
        <bgColor rgb="FF000000"/>
      </patternFill>
    </fill>
    <fill>
      <patternFill patternType="solid">
        <fgColor rgb="FFE74758"/>
        <bgColor rgb="FFE74758"/>
      </patternFill>
    </fill>
    <fill>
      <patternFill patternType="solid">
        <fgColor rgb="FF8F8890"/>
        <bgColor rgb="FF8F8890"/>
      </patternFill>
    </fill>
    <fill>
      <patternFill patternType="solid">
        <fgColor rgb="FF00DBE7"/>
        <bgColor rgb="FF00DBE7"/>
      </patternFill>
    </fill>
    <fill>
      <patternFill patternType="solid">
        <fgColor rgb="FFDAE700"/>
        <bgColor rgb="FFDAE700"/>
      </patternFill>
    </fill>
    <fill>
      <patternFill patternType="solid">
        <fgColor rgb="FF9500E7"/>
        <bgColor rgb="FF9500E7"/>
      </patternFill>
    </fill>
    <fill>
      <patternFill patternType="solid">
        <fgColor rgb="FFE7E7E7"/>
        <bgColor rgb="FFE7E7E7"/>
      </patternFill>
    </fill>
    <fill>
      <patternFill patternType="solid">
        <fgColor rgb="FFE7A897"/>
        <bgColor rgb="FFE7A897"/>
      </patternFill>
    </fill>
    <fill>
      <patternFill patternType="solid">
        <fgColor rgb="FFABE700"/>
        <bgColor rgb="FFABE700"/>
      </patternFill>
    </fill>
    <fill>
      <patternFill patternType="solid">
        <fgColor rgb="FF00E787"/>
        <bgColor rgb="FF00E787"/>
      </patternFill>
    </fill>
    <fill>
      <patternFill patternType="solid">
        <fgColor rgb="FFE76A69"/>
        <bgColor rgb="FFE76A69"/>
      </patternFill>
    </fill>
    <fill>
      <patternFill patternType="solid">
        <fgColor rgb="FF0001E7"/>
        <bgColor rgb="FF0001E7"/>
      </patternFill>
    </fill>
    <fill>
      <patternFill patternType="solid">
        <fgColor rgb="FF928540"/>
        <bgColor rgb="FF928540"/>
      </patternFill>
    </fill>
    <fill>
      <patternFill patternType="solid">
        <fgColor rgb="FF8D5C76"/>
        <bgColor rgb="FF8D5C76"/>
      </patternFill>
    </fill>
    <fill>
      <patternFill patternType="solid">
        <fgColor rgb="FFE715B4"/>
        <bgColor rgb="FFE715B4"/>
      </patternFill>
    </fill>
    <fill>
      <patternFill patternType="solid">
        <fgColor rgb="FF197A00"/>
        <bgColor rgb="FF197A00"/>
      </patternFill>
    </fill>
    <fill>
      <patternFill patternType="solid">
        <fgColor rgb="FF9BB9E7"/>
        <bgColor rgb="FF9BB9E7"/>
      </patternFill>
    </fill>
    <fill>
      <patternFill patternType="solid">
        <fgColor rgb="FFE7AD00"/>
        <bgColor rgb="FFE7AD00"/>
      </patternFill>
    </fill>
    <fill>
      <patternFill patternType="solid">
        <fgColor rgb="FF9C3A3B"/>
        <bgColor rgb="FF9C3A3B"/>
      </patternFill>
    </fill>
    <fill>
      <patternFill patternType="solid">
        <fgColor rgb="FF565178"/>
        <bgColor rgb="FF565178"/>
      </patternFill>
    </fill>
    <fill>
      <patternFill patternType="solid">
        <fgColor rgb="FFE7C592"/>
        <bgColor rgb="FFE7C592"/>
      </patternFill>
    </fill>
    <fill>
      <patternFill patternType="solid">
        <fgColor rgb="FF0BE700"/>
        <bgColor rgb="FF0BE700"/>
      </patternFill>
    </fill>
    <fill>
      <patternFill patternType="solid">
        <fgColor rgb="FF8DE7D2"/>
        <bgColor rgb="FF8DE7D2"/>
      </patternFill>
    </fill>
    <fill>
      <patternFill patternType="solid">
        <fgColor rgb="FFAB9BFF"/>
        <bgColor rgb="FFAB9BFF"/>
      </patternFill>
    </fill>
    <fill>
      <patternFill patternType="solid">
        <fgColor rgb="FF00FF00"/>
        <bgColor rgb="FF00FF00"/>
      </patternFill>
    </fill>
    <fill>
      <patternFill patternType="solid">
        <fgColor rgb="FFBFBFBF"/>
        <bgColor rgb="FFBFBFB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0" xfId="0" applyAlignment="1" applyFont="1">
      <alignment readingOrder="0"/>
    </xf>
    <xf borderId="0" fillId="0" fontId="1" numFmtId="0" xfId="0" applyFont="1"/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Fill="1" applyFont="1"/>
    <xf borderId="0" fillId="5" fontId="1" numFmtId="0" xfId="0" applyFill="1" applyFont="1"/>
    <xf borderId="0" fillId="6" fontId="1" numFmtId="0" xfId="0" applyFill="1" applyFont="1"/>
    <xf borderId="0" fillId="7" fontId="1" numFmtId="0" xfId="0" applyFill="1" applyFont="1"/>
    <xf borderId="0" fillId="8" fontId="1" numFmtId="0" xfId="0" applyFill="1" applyFont="1"/>
    <xf borderId="0" fillId="9" fontId="1" numFmtId="0" xfId="0" applyFill="1" applyFont="1"/>
    <xf borderId="0" fillId="10" fontId="1" numFmtId="0" xfId="0" applyFill="1" applyFont="1"/>
    <xf borderId="0" fillId="11" fontId="1" numFmtId="0" xfId="0" applyFill="1" applyFont="1"/>
    <xf borderId="0" fillId="12" fontId="1" numFmtId="0" xfId="0" applyFill="1" applyFont="1"/>
    <xf borderId="0" fillId="13" fontId="1" numFmtId="0" xfId="0" applyFill="1" applyFont="1"/>
    <xf borderId="0" fillId="14" fontId="1" numFmtId="0" xfId="0" applyFill="1" applyFont="1"/>
    <xf borderId="0" fillId="15" fontId="1" numFmtId="0" xfId="0" applyFill="1" applyFont="1"/>
    <xf borderId="0" fillId="16" fontId="1" numFmtId="0" xfId="0" applyFill="1" applyFont="1"/>
    <xf borderId="0" fillId="17" fontId="1" numFmtId="0" xfId="0" applyFill="1" applyFont="1"/>
    <xf borderId="0" fillId="18" fontId="1" numFmtId="0" xfId="0" applyFill="1" applyFont="1"/>
    <xf borderId="0" fillId="19" fontId="1" numFmtId="0" xfId="0" applyFill="1" applyFont="1"/>
    <xf borderId="0" fillId="20" fontId="1" numFmtId="0" xfId="0" applyFill="1" applyFont="1"/>
    <xf borderId="0" fillId="21" fontId="1" numFmtId="0" xfId="0" applyFill="1" applyFont="1"/>
    <xf borderId="0" fillId="22" fontId="1" numFmtId="0" xfId="0" applyFill="1" applyFont="1"/>
    <xf borderId="0" fillId="23" fontId="1" numFmtId="0" xfId="0" applyFill="1" applyFont="1"/>
    <xf borderId="0" fillId="24" fontId="1" numFmtId="0" xfId="0" applyFill="1" applyFont="1"/>
    <xf borderId="0" fillId="25" fontId="1" numFmtId="0" xfId="0" applyFill="1" applyFont="1"/>
    <xf borderId="0" fillId="26" fontId="1" numFmtId="0" xfId="0" applyFill="1" applyFont="1"/>
    <xf borderId="0" fillId="27" fontId="1" numFmtId="0" xfId="0" applyFill="1" applyFont="1"/>
    <xf borderId="0" fillId="28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28" fontId="1" numFmtId="0" xfId="0" applyFont="1"/>
    <xf borderId="1" fillId="29" fontId="2" numFmtId="0" xfId="0" applyAlignment="1" applyBorder="1" applyFill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0" fontId="5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2.75"/>
    <col customWidth="1" min="2" max="2" width="11.25"/>
    <col customWidth="1" min="5" max="5" width="75.63"/>
  </cols>
  <sheetData>
    <row r="1">
      <c r="A1" s="1" t="s">
        <v>0</v>
      </c>
      <c r="B1" s="1" t="s">
        <v>1</v>
      </c>
      <c r="C1" s="1" t="s">
        <v>2</v>
      </c>
      <c r="D1" s="2"/>
      <c r="E1" s="1" t="s">
        <v>3</v>
      </c>
    </row>
    <row r="2">
      <c r="A2" s="3" t="s">
        <v>4</v>
      </c>
      <c r="B2" s="3"/>
      <c r="C2" s="3">
        <v>14.5</v>
      </c>
      <c r="E2" s="3" t="s">
        <v>5</v>
      </c>
    </row>
    <row r="3">
      <c r="A3" s="3" t="s">
        <v>6</v>
      </c>
      <c r="B3" s="3" t="s">
        <v>7</v>
      </c>
    </row>
    <row r="4">
      <c r="A4" s="3" t="s">
        <v>8</v>
      </c>
      <c r="B4" s="3">
        <v>2.0</v>
      </c>
    </row>
    <row r="5">
      <c r="A5" s="3" t="s">
        <v>9</v>
      </c>
      <c r="B5" s="3">
        <v>6.0</v>
      </c>
      <c r="E5" s="3" t="s">
        <v>10</v>
      </c>
    </row>
    <row r="6">
      <c r="A6" s="3" t="s">
        <v>11</v>
      </c>
      <c r="B6" s="3">
        <v>60.0</v>
      </c>
    </row>
    <row r="7">
      <c r="A7" s="3" t="s">
        <v>12</v>
      </c>
      <c r="B7" s="3">
        <v>1.0</v>
      </c>
      <c r="C7" s="3">
        <v>6.69</v>
      </c>
    </row>
    <row r="8">
      <c r="A8" s="3" t="s">
        <v>13</v>
      </c>
      <c r="B8" s="3">
        <v>3.0</v>
      </c>
      <c r="C8" s="3">
        <v>6.0</v>
      </c>
      <c r="E8" s="3" t="s">
        <v>14</v>
      </c>
    </row>
    <row r="9">
      <c r="A9" s="3" t="s">
        <v>15</v>
      </c>
      <c r="B9" s="3">
        <v>3.0</v>
      </c>
      <c r="C9" s="3">
        <v>8.49</v>
      </c>
    </row>
    <row r="10">
      <c r="A10" s="3" t="s">
        <v>16</v>
      </c>
      <c r="B10" s="3">
        <v>1.0</v>
      </c>
      <c r="C10" s="3">
        <v>1.31</v>
      </c>
    </row>
    <row r="11">
      <c r="A11" s="3" t="s">
        <v>17</v>
      </c>
      <c r="B11" s="3">
        <v>5.0</v>
      </c>
      <c r="C11" s="3">
        <v>13.01</v>
      </c>
      <c r="E11" s="3" t="s">
        <v>18</v>
      </c>
    </row>
    <row r="12">
      <c r="A12" s="3" t="s">
        <v>19</v>
      </c>
      <c r="B12" s="3">
        <v>1.0</v>
      </c>
      <c r="C12" s="3">
        <v>6.0</v>
      </c>
    </row>
    <row r="13">
      <c r="A13" s="3" t="s">
        <v>20</v>
      </c>
      <c r="B13" s="3">
        <v>12.0</v>
      </c>
      <c r="C13" s="3">
        <v>10.14</v>
      </c>
    </row>
    <row r="14">
      <c r="A14" s="3" t="s">
        <v>21</v>
      </c>
      <c r="B14" s="3">
        <v>1.0</v>
      </c>
      <c r="C14" s="3">
        <v>3.0</v>
      </c>
    </row>
    <row r="15">
      <c r="A15" s="3" t="s">
        <v>22</v>
      </c>
      <c r="B15" s="3">
        <v>1.0</v>
      </c>
      <c r="C15" s="3">
        <v>2.65</v>
      </c>
      <c r="E15" s="3" t="s">
        <v>23</v>
      </c>
    </row>
    <row r="16">
      <c r="A16" s="3" t="s">
        <v>24</v>
      </c>
      <c r="B16" s="3">
        <v>1.0</v>
      </c>
      <c r="C16" s="3">
        <v>10.0</v>
      </c>
      <c r="E16" s="3" t="s">
        <v>25</v>
      </c>
    </row>
    <row r="17" ht="31.5" customHeight="1">
      <c r="A17" s="3" t="s">
        <v>26</v>
      </c>
      <c r="B17" s="3" t="s">
        <v>7</v>
      </c>
      <c r="C17" s="3">
        <v>25.0</v>
      </c>
      <c r="E17" s="3" t="s">
        <v>27</v>
      </c>
    </row>
    <row r="18">
      <c r="A18" s="3" t="s">
        <v>28</v>
      </c>
      <c r="B18" s="3">
        <v>1.0</v>
      </c>
      <c r="C18" s="3">
        <v>1.79</v>
      </c>
    </row>
    <row r="19">
      <c r="A19" s="3" t="s">
        <v>29</v>
      </c>
      <c r="B19" s="3">
        <v>3.0</v>
      </c>
      <c r="C19" s="3">
        <v>1.71</v>
      </c>
      <c r="E19" s="3" t="s">
        <v>30</v>
      </c>
    </row>
    <row r="20">
      <c r="A20" s="3" t="s">
        <v>31</v>
      </c>
      <c r="B20" s="3">
        <v>1.0</v>
      </c>
      <c r="C20" s="3">
        <v>1.11</v>
      </c>
    </row>
    <row r="21" ht="30.75" customHeight="1">
      <c r="A21" s="3" t="s">
        <v>32</v>
      </c>
      <c r="B21" s="3">
        <v>1.0</v>
      </c>
      <c r="C21" s="3">
        <v>15.0</v>
      </c>
      <c r="E21" s="3" t="s">
        <v>33</v>
      </c>
    </row>
    <row r="22">
      <c r="A22" s="3" t="s">
        <v>34</v>
      </c>
      <c r="B22" s="3">
        <v>3.0</v>
      </c>
      <c r="C22" s="3">
        <v>1.79</v>
      </c>
      <c r="E22" s="3" t="s">
        <v>35</v>
      </c>
    </row>
    <row r="23">
      <c r="A23" s="3" t="s">
        <v>36</v>
      </c>
      <c r="B23" s="3" t="s">
        <v>37</v>
      </c>
      <c r="C23" s="3">
        <v>1.59</v>
      </c>
    </row>
    <row r="24">
      <c r="A24" s="3" t="s">
        <v>38</v>
      </c>
      <c r="B24" s="3">
        <v>150.0</v>
      </c>
      <c r="C24" s="3">
        <v>7.35</v>
      </c>
    </row>
    <row r="25">
      <c r="A25" s="3" t="s">
        <v>39</v>
      </c>
      <c r="B25" s="3">
        <v>2.0</v>
      </c>
      <c r="C25" s="3">
        <v>6.14</v>
      </c>
      <c r="E25" s="3"/>
    </row>
    <row r="26">
      <c r="A26" s="3" t="s">
        <v>40</v>
      </c>
      <c r="B26" s="3">
        <v>2.0</v>
      </c>
      <c r="C26" s="3">
        <v>2.51</v>
      </c>
      <c r="E26" s="3"/>
    </row>
    <row r="27">
      <c r="A27" s="3" t="s">
        <v>41</v>
      </c>
      <c r="B27" s="3">
        <v>3.0</v>
      </c>
      <c r="C27" s="3">
        <v>3.64</v>
      </c>
      <c r="E27" s="3"/>
    </row>
    <row r="28">
      <c r="A28" s="3" t="s">
        <v>42</v>
      </c>
      <c r="B28" s="3">
        <v>3.0</v>
      </c>
      <c r="C28" s="3">
        <v>2.69</v>
      </c>
      <c r="E28" s="3" t="s">
        <v>43</v>
      </c>
    </row>
    <row r="30">
      <c r="A30" s="3" t="s">
        <v>44</v>
      </c>
      <c r="B30" s="3"/>
      <c r="C30" s="4">
        <f>SUM(C2:C29)</f>
        <v>152.11</v>
      </c>
      <c r="D30" s="3" t="s">
        <v>45</v>
      </c>
    </row>
    <row r="33">
      <c r="A33" s="1" t="s">
        <v>46</v>
      </c>
      <c r="B33" s="1" t="s">
        <v>1</v>
      </c>
      <c r="C33" s="1" t="s">
        <v>2</v>
      </c>
      <c r="D33" s="2"/>
      <c r="E33" s="1" t="s">
        <v>3</v>
      </c>
    </row>
    <row r="34" ht="30.75" customHeight="1">
      <c r="A34" s="3" t="s">
        <v>47</v>
      </c>
      <c r="B34" s="3">
        <v>10.0</v>
      </c>
      <c r="C34" s="3">
        <v>8.42</v>
      </c>
      <c r="E34" s="3" t="s">
        <v>48</v>
      </c>
    </row>
    <row r="35">
      <c r="A35" s="3" t="s">
        <v>49</v>
      </c>
      <c r="B35" s="3">
        <v>10.0</v>
      </c>
      <c r="C35" s="3">
        <v>2.69</v>
      </c>
    </row>
    <row r="36">
      <c r="A36" s="3" t="s">
        <v>50</v>
      </c>
      <c r="B36" s="3">
        <v>10.0</v>
      </c>
      <c r="C36" s="3">
        <v>3.69</v>
      </c>
    </row>
    <row r="37">
      <c r="A37" s="3" t="s">
        <v>51</v>
      </c>
      <c r="B37" s="3" t="s">
        <v>52</v>
      </c>
      <c r="C37" s="3">
        <v>2.9</v>
      </c>
    </row>
    <row r="38">
      <c r="A38" s="3" t="s">
        <v>53</v>
      </c>
      <c r="C38" s="3">
        <v>5.0</v>
      </c>
    </row>
    <row r="39">
      <c r="A39" s="3" t="s">
        <v>54</v>
      </c>
      <c r="C39" s="3">
        <v>10.0</v>
      </c>
    </row>
    <row r="40">
      <c r="A40" s="3" t="s">
        <v>55</v>
      </c>
      <c r="C40" s="4">
        <f>SUM(C34:C39)</f>
        <v>32.7</v>
      </c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3.88"/>
    <col customWidth="1" min="4" max="4" width="18.0"/>
    <col customWidth="1" min="5" max="5" width="27.75"/>
    <col customWidth="1" min="6" max="6" width="26.63"/>
    <col customWidth="1" min="7" max="7" width="22.38"/>
  </cols>
  <sheetData>
    <row r="1">
      <c r="A1" s="1" t="s">
        <v>56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</row>
    <row r="2" ht="80.25" customHeight="1">
      <c r="A2" s="3" t="s">
        <v>63</v>
      </c>
      <c r="B2" s="3" t="s">
        <v>64</v>
      </c>
      <c r="C2" s="3">
        <v>1.0</v>
      </c>
      <c r="D2" s="3">
        <v>0.0</v>
      </c>
      <c r="E2" s="3" t="s">
        <v>65</v>
      </c>
    </row>
    <row r="3" ht="80.25" customHeight="1">
      <c r="A3" s="3" t="s">
        <v>63</v>
      </c>
      <c r="B3" s="3" t="s">
        <v>66</v>
      </c>
      <c r="C3" s="3">
        <v>1.0</v>
      </c>
      <c r="D3" s="3">
        <v>0.0</v>
      </c>
      <c r="E3" s="3" t="s">
        <v>65</v>
      </c>
    </row>
    <row r="4" ht="80.25" customHeight="1">
      <c r="A4" s="3" t="s">
        <v>63</v>
      </c>
      <c r="B4" s="3" t="s">
        <v>67</v>
      </c>
      <c r="C4" s="3">
        <v>2.0</v>
      </c>
      <c r="D4" s="3">
        <v>0.0</v>
      </c>
      <c r="E4" s="3" t="s">
        <v>68</v>
      </c>
    </row>
    <row r="5" ht="80.25" customHeight="1">
      <c r="A5" s="3" t="s">
        <v>69</v>
      </c>
      <c r="B5" s="3" t="s">
        <v>70</v>
      </c>
      <c r="C5" s="3">
        <v>2.0</v>
      </c>
      <c r="D5" s="3">
        <v>0.0</v>
      </c>
      <c r="E5" s="3" t="s">
        <v>71</v>
      </c>
    </row>
    <row r="6" ht="80.25" customHeight="1">
      <c r="A6" s="3" t="s">
        <v>69</v>
      </c>
      <c r="B6" s="3" t="s">
        <v>72</v>
      </c>
      <c r="C6" s="3">
        <v>2.0</v>
      </c>
      <c r="D6" s="3">
        <v>0.0</v>
      </c>
      <c r="E6" s="3" t="s">
        <v>73</v>
      </c>
      <c r="F6" s="3" t="s">
        <v>74</v>
      </c>
    </row>
    <row r="7" ht="80.25" customHeight="1">
      <c r="A7" s="3" t="s">
        <v>69</v>
      </c>
      <c r="B7" s="3" t="s">
        <v>75</v>
      </c>
      <c r="C7" s="3">
        <v>4.0</v>
      </c>
      <c r="D7" s="3">
        <v>0.0</v>
      </c>
      <c r="E7" s="3" t="s">
        <v>76</v>
      </c>
    </row>
    <row r="8" ht="80.25" customHeight="1">
      <c r="A8" s="3" t="s">
        <v>69</v>
      </c>
      <c r="B8" s="3" t="s">
        <v>77</v>
      </c>
      <c r="C8" s="3">
        <v>4.0</v>
      </c>
      <c r="D8" s="3">
        <v>0.0</v>
      </c>
      <c r="E8" s="3" t="s">
        <v>78</v>
      </c>
    </row>
    <row r="9" ht="80.25" customHeight="1">
      <c r="A9" s="3" t="s">
        <v>69</v>
      </c>
      <c r="B9" s="3" t="s">
        <v>79</v>
      </c>
      <c r="C9" s="3">
        <v>2.0</v>
      </c>
      <c r="D9" s="3">
        <v>0.0</v>
      </c>
      <c r="E9" s="3" t="s">
        <v>80</v>
      </c>
    </row>
    <row r="10" ht="80.25" customHeight="1">
      <c r="A10" s="3" t="s">
        <v>69</v>
      </c>
      <c r="B10" s="3" t="s">
        <v>81</v>
      </c>
      <c r="C10" s="3">
        <v>2.0</v>
      </c>
      <c r="D10" s="3">
        <v>20.0</v>
      </c>
      <c r="E10" s="3" t="s">
        <v>80</v>
      </c>
    </row>
    <row r="11" ht="80.25" customHeight="1">
      <c r="A11" s="3" t="s">
        <v>69</v>
      </c>
      <c r="B11" s="3" t="s">
        <v>82</v>
      </c>
      <c r="C11" s="3">
        <v>2.0</v>
      </c>
      <c r="D11" s="3">
        <v>0.0</v>
      </c>
      <c r="E11" s="3" t="s">
        <v>83</v>
      </c>
    </row>
    <row r="12" ht="80.25" customHeight="1">
      <c r="A12" s="3" t="s">
        <v>69</v>
      </c>
      <c r="B12" s="3" t="s">
        <v>84</v>
      </c>
      <c r="C12" s="3">
        <v>1.0</v>
      </c>
      <c r="D12" s="3">
        <v>6.0</v>
      </c>
      <c r="E12" s="3" t="s">
        <v>85</v>
      </c>
    </row>
    <row r="13" ht="80.25" customHeight="1">
      <c r="A13" s="3" t="s">
        <v>69</v>
      </c>
      <c r="B13" s="3" t="s">
        <v>86</v>
      </c>
      <c r="C13" s="3">
        <v>2.0</v>
      </c>
      <c r="D13" s="3">
        <v>0.0</v>
      </c>
      <c r="E13" s="3" t="s">
        <v>87</v>
      </c>
    </row>
    <row r="14" ht="80.25" customHeight="1">
      <c r="A14" s="3" t="s">
        <v>88</v>
      </c>
      <c r="B14" s="3" t="s">
        <v>89</v>
      </c>
      <c r="C14" s="3">
        <v>1.0</v>
      </c>
      <c r="D14" s="3">
        <v>6.0</v>
      </c>
      <c r="E14" s="3" t="s">
        <v>90</v>
      </c>
    </row>
    <row r="15" ht="80.25" customHeight="1">
      <c r="A15" s="3" t="s">
        <v>88</v>
      </c>
      <c r="B15" s="3" t="s">
        <v>91</v>
      </c>
      <c r="C15" s="3">
        <v>5.0</v>
      </c>
      <c r="D15" s="3">
        <v>0.0</v>
      </c>
    </row>
    <row r="16" ht="80.25" customHeight="1">
      <c r="A16" s="3" t="s">
        <v>88</v>
      </c>
      <c r="B16" s="3" t="s">
        <v>92</v>
      </c>
      <c r="C16" s="3">
        <v>3.0</v>
      </c>
      <c r="D16" s="3">
        <v>24.0</v>
      </c>
      <c r="E16" s="3" t="s">
        <v>93</v>
      </c>
    </row>
    <row r="17" ht="80.25" customHeight="1">
      <c r="A17" s="3" t="s">
        <v>88</v>
      </c>
      <c r="B17" s="3" t="s">
        <v>94</v>
      </c>
      <c r="C17" s="3">
        <v>1.0</v>
      </c>
      <c r="D17" s="3">
        <v>2.0</v>
      </c>
      <c r="E17" s="3" t="s">
        <v>95</v>
      </c>
    </row>
    <row r="18" ht="80.25" customHeight="1">
      <c r="A18" s="3" t="s">
        <v>88</v>
      </c>
      <c r="B18" s="3" t="s">
        <v>96</v>
      </c>
      <c r="C18" s="3">
        <v>1.0</v>
      </c>
      <c r="D18" s="3">
        <v>0.0</v>
      </c>
      <c r="E18" s="3" t="s">
        <v>97</v>
      </c>
      <c r="F18" s="3" t="s">
        <v>98</v>
      </c>
    </row>
    <row r="19" ht="80.25" customHeight="1">
      <c r="A19" s="3" t="s">
        <v>88</v>
      </c>
      <c r="B19" s="3" t="s">
        <v>99</v>
      </c>
      <c r="C19" s="3">
        <v>1.0</v>
      </c>
      <c r="D19" s="3">
        <v>12.0</v>
      </c>
      <c r="E19" s="3" t="s">
        <v>100</v>
      </c>
      <c r="F19" s="3"/>
    </row>
    <row r="20" ht="80.25" customHeight="1">
      <c r="A20" s="3" t="s">
        <v>88</v>
      </c>
      <c r="B20" s="3" t="s">
        <v>101</v>
      </c>
      <c r="C20" s="3" t="s">
        <v>102</v>
      </c>
      <c r="D20" s="3">
        <v>12.0</v>
      </c>
      <c r="E20" s="3" t="s">
        <v>103</v>
      </c>
      <c r="F20" s="3" t="s">
        <v>104</v>
      </c>
    </row>
    <row r="21" ht="80.25" customHeight="1">
      <c r="A21" s="3" t="s">
        <v>88</v>
      </c>
      <c r="B21" s="3" t="s">
        <v>105</v>
      </c>
      <c r="C21" s="3">
        <v>2.0</v>
      </c>
      <c r="D21" s="3">
        <v>0.0</v>
      </c>
      <c r="E21" s="3" t="s">
        <v>106</v>
      </c>
    </row>
    <row r="22" ht="80.25" customHeight="1">
      <c r="A22" s="3" t="s">
        <v>88</v>
      </c>
      <c r="B22" s="3" t="s">
        <v>107</v>
      </c>
      <c r="C22" s="3">
        <v>1.0</v>
      </c>
      <c r="D22" s="3">
        <v>2.0</v>
      </c>
      <c r="E22" s="3" t="s">
        <v>108</v>
      </c>
    </row>
    <row r="23" ht="80.25" customHeight="1">
      <c r="A23" s="3" t="s">
        <v>109</v>
      </c>
      <c r="B23" s="3" t="s">
        <v>110</v>
      </c>
      <c r="C23" s="3">
        <v>1.0</v>
      </c>
      <c r="D23" s="3">
        <v>0.0</v>
      </c>
      <c r="E23" s="3" t="s">
        <v>97</v>
      </c>
      <c r="F23" s="3" t="s">
        <v>98</v>
      </c>
    </row>
    <row r="24" ht="80.25" customHeight="1">
      <c r="A24" s="3" t="s">
        <v>109</v>
      </c>
      <c r="B24" s="3" t="s">
        <v>111</v>
      </c>
      <c r="C24" s="3">
        <v>1.0</v>
      </c>
      <c r="D24" s="3">
        <v>8.0</v>
      </c>
      <c r="E24" s="3" t="s">
        <v>112</v>
      </c>
      <c r="F24" s="3" t="s">
        <v>113</v>
      </c>
    </row>
    <row r="25" ht="80.25" customHeight="1">
      <c r="A25" s="3" t="s">
        <v>109</v>
      </c>
      <c r="B25" s="3" t="s">
        <v>114</v>
      </c>
      <c r="C25" s="3">
        <v>1.0</v>
      </c>
      <c r="D25" s="3">
        <v>0.0</v>
      </c>
      <c r="E25" s="3" t="s">
        <v>115</v>
      </c>
    </row>
    <row r="26" ht="80.25" customHeight="1">
      <c r="A26" s="3" t="s">
        <v>109</v>
      </c>
      <c r="B26" s="3" t="s">
        <v>116</v>
      </c>
      <c r="C26" s="3">
        <v>2.0</v>
      </c>
      <c r="D26" s="3">
        <v>0.0</v>
      </c>
      <c r="E26" s="3" t="s">
        <v>117</v>
      </c>
      <c r="F26" s="3" t="s">
        <v>118</v>
      </c>
    </row>
    <row r="27" ht="80.25" customHeight="1">
      <c r="A27" s="3" t="s">
        <v>109</v>
      </c>
      <c r="B27" s="3" t="s">
        <v>119</v>
      </c>
      <c r="C27" s="3">
        <v>2.0</v>
      </c>
      <c r="D27" s="3">
        <v>0.0</v>
      </c>
      <c r="E27" s="3" t="s">
        <v>120</v>
      </c>
    </row>
    <row r="28" ht="80.25" customHeight="1">
      <c r="A28" s="3" t="s">
        <v>109</v>
      </c>
      <c r="B28" s="3" t="s">
        <v>121</v>
      </c>
      <c r="C28" s="3">
        <v>2.0</v>
      </c>
      <c r="D28" s="3">
        <v>0.0</v>
      </c>
      <c r="E28" s="3" t="s">
        <v>103</v>
      </c>
    </row>
    <row r="29" ht="80.25" customHeight="1">
      <c r="A29" s="3" t="s">
        <v>109</v>
      </c>
      <c r="B29" s="3" t="s">
        <v>122</v>
      </c>
      <c r="C29" s="3">
        <v>1.0</v>
      </c>
      <c r="D29" s="3">
        <v>0.0</v>
      </c>
      <c r="E29" s="3" t="s">
        <v>123</v>
      </c>
    </row>
    <row r="30" ht="80.25" customHeight="1">
      <c r="A30" s="3" t="s">
        <v>109</v>
      </c>
      <c r="B30" s="3" t="s">
        <v>124</v>
      </c>
      <c r="C30" s="3">
        <v>1.0</v>
      </c>
      <c r="D30" s="3">
        <v>1.0</v>
      </c>
      <c r="E30" s="3" t="s">
        <v>125</v>
      </c>
    </row>
    <row r="31" ht="80.25" customHeight="1">
      <c r="A31" s="3" t="s">
        <v>126</v>
      </c>
      <c r="B31" s="3" t="s">
        <v>127</v>
      </c>
      <c r="C31" s="3">
        <v>1.0</v>
      </c>
      <c r="D31" s="3">
        <v>0.0</v>
      </c>
      <c r="E31" s="3" t="s">
        <v>128</v>
      </c>
    </row>
    <row r="32" ht="80.25" customHeight="1">
      <c r="A32" s="3" t="s">
        <v>126</v>
      </c>
      <c r="B32" s="3" t="s">
        <v>129</v>
      </c>
      <c r="C32" s="3">
        <v>1.0</v>
      </c>
      <c r="D32" s="3">
        <v>0.0</v>
      </c>
      <c r="E32" s="3" t="s">
        <v>130</v>
      </c>
      <c r="F32" s="3" t="s">
        <v>131</v>
      </c>
    </row>
    <row r="33" ht="80.25" customHeight="1">
      <c r="A33" s="3" t="s">
        <v>126</v>
      </c>
      <c r="B33" s="3" t="s">
        <v>132</v>
      </c>
      <c r="C33" s="3">
        <v>1.0</v>
      </c>
      <c r="D33" s="3">
        <v>2.0</v>
      </c>
      <c r="E33" s="3" t="s">
        <v>95</v>
      </c>
    </row>
    <row r="34" ht="80.25" customHeight="1">
      <c r="A34" s="3" t="s">
        <v>126</v>
      </c>
      <c r="B34" s="3" t="s">
        <v>133</v>
      </c>
      <c r="C34" s="3">
        <v>1.0</v>
      </c>
      <c r="D34" s="3">
        <v>0.0</v>
      </c>
      <c r="F34" s="3" t="s">
        <v>134</v>
      </c>
    </row>
    <row r="35" ht="80.25" customHeight="1">
      <c r="A35" s="3" t="s">
        <v>126</v>
      </c>
      <c r="B35" s="3" t="s">
        <v>135</v>
      </c>
      <c r="C35" s="3">
        <v>2.0</v>
      </c>
      <c r="D35" s="3">
        <v>0.0</v>
      </c>
      <c r="E35" s="3" t="s">
        <v>136</v>
      </c>
    </row>
    <row r="36" ht="80.25" customHeight="1">
      <c r="A36" s="3" t="s">
        <v>126</v>
      </c>
      <c r="B36" s="3" t="s">
        <v>137</v>
      </c>
      <c r="C36" s="3" t="s">
        <v>102</v>
      </c>
      <c r="D36" s="3">
        <v>12.0</v>
      </c>
      <c r="E36" s="3" t="s">
        <v>103</v>
      </c>
      <c r="F36" s="3" t="s">
        <v>104</v>
      </c>
    </row>
    <row r="37" ht="80.25" customHeight="1">
      <c r="A37" s="3" t="s">
        <v>126</v>
      </c>
      <c r="B37" s="3" t="s">
        <v>138</v>
      </c>
      <c r="C37" s="3">
        <v>1.0</v>
      </c>
      <c r="D37" s="3">
        <v>2.0</v>
      </c>
      <c r="E37" s="3" t="s">
        <v>139</v>
      </c>
    </row>
    <row r="38" ht="80.25" customHeight="1">
      <c r="A38" s="3" t="s">
        <v>126</v>
      </c>
      <c r="B38" s="3" t="s">
        <v>140</v>
      </c>
      <c r="C38" s="3">
        <v>1.0</v>
      </c>
      <c r="D38" s="3">
        <v>12.0</v>
      </c>
      <c r="E38" s="3" t="s">
        <v>103</v>
      </c>
    </row>
    <row r="40" ht="306.75" customHeight="1">
      <c r="A40" s="5" t="s">
        <v>141</v>
      </c>
      <c r="B40" s="6"/>
      <c r="C40" s="6"/>
      <c r="D40" s="6">
        <f>SUM(D2:D38)</f>
        <v>121</v>
      </c>
      <c r="E40" s="5" t="s">
        <v>142</v>
      </c>
      <c r="F40" s="6"/>
      <c r="G40" s="6"/>
    </row>
  </sheetData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5.0"/>
  </cols>
  <sheetData>
    <row r="1">
      <c r="B1" s="3" t="s">
        <v>143</v>
      </c>
      <c r="C1" s="3" t="s">
        <v>144</v>
      </c>
    </row>
    <row r="2">
      <c r="A2" s="3" t="s">
        <v>145</v>
      </c>
    </row>
    <row r="3">
      <c r="B3" s="3" t="s">
        <v>146</v>
      </c>
      <c r="C3" s="7"/>
    </row>
    <row r="4">
      <c r="B4" s="3" t="s">
        <v>147</v>
      </c>
      <c r="C4" s="8"/>
    </row>
    <row r="5">
      <c r="B5" s="3" t="s">
        <v>148</v>
      </c>
      <c r="C5" s="9"/>
    </row>
    <row r="6">
      <c r="B6" s="3" t="s">
        <v>149</v>
      </c>
      <c r="C6" s="10"/>
    </row>
    <row r="7">
      <c r="B7" s="3" t="s">
        <v>150</v>
      </c>
      <c r="C7" s="11"/>
    </row>
    <row r="8">
      <c r="B8" s="3" t="s">
        <v>151</v>
      </c>
      <c r="C8" s="12"/>
    </row>
    <row r="9">
      <c r="B9" s="3" t="s">
        <v>152</v>
      </c>
      <c r="C9" s="13"/>
    </row>
    <row r="10">
      <c r="B10" s="3" t="s">
        <v>153</v>
      </c>
      <c r="C10" s="14"/>
    </row>
    <row r="13">
      <c r="A13" s="3" t="s">
        <v>154</v>
      </c>
      <c r="B13" s="3" t="s">
        <v>155</v>
      </c>
      <c r="C13" s="15"/>
    </row>
    <row r="14">
      <c r="B14" s="3" t="s">
        <v>156</v>
      </c>
      <c r="C14" s="16"/>
    </row>
    <row r="15">
      <c r="B15" s="3" t="s">
        <v>146</v>
      </c>
      <c r="C15" s="7"/>
    </row>
    <row r="16">
      <c r="B16" s="3" t="s">
        <v>157</v>
      </c>
      <c r="C16" s="17"/>
    </row>
    <row r="17">
      <c r="B17" s="3" t="s">
        <v>158</v>
      </c>
      <c r="C17" s="18"/>
    </row>
    <row r="18">
      <c r="B18" s="3" t="s">
        <v>159</v>
      </c>
      <c r="C18" s="19"/>
    </row>
    <row r="19">
      <c r="B19" s="3" t="s">
        <v>153</v>
      </c>
      <c r="C19" s="14"/>
    </row>
    <row r="20">
      <c r="B20" s="3" t="s">
        <v>160</v>
      </c>
      <c r="C20" s="20"/>
    </row>
    <row r="21">
      <c r="B21" s="3" t="s">
        <v>161</v>
      </c>
      <c r="C21" s="21"/>
    </row>
    <row r="22">
      <c r="B22" s="3" t="s">
        <v>162</v>
      </c>
      <c r="C22" s="22"/>
    </row>
    <row r="23">
      <c r="B23" s="3" t="s">
        <v>150</v>
      </c>
      <c r="C23" s="11"/>
    </row>
    <row r="24">
      <c r="B24" s="3" t="s">
        <v>163</v>
      </c>
      <c r="C24" s="23"/>
    </row>
    <row r="25">
      <c r="B25" s="3" t="s">
        <v>164</v>
      </c>
      <c r="C25" s="24"/>
    </row>
    <row r="26">
      <c r="B26" s="3" t="s">
        <v>165</v>
      </c>
      <c r="C26" s="25"/>
    </row>
    <row r="27">
      <c r="B27" s="3" t="s">
        <v>34</v>
      </c>
      <c r="C27" s="26"/>
    </row>
    <row r="28">
      <c r="B28" s="3" t="s">
        <v>152</v>
      </c>
      <c r="C28" s="13"/>
    </row>
    <row r="31">
      <c r="A31" s="3" t="s">
        <v>166</v>
      </c>
      <c r="B31" s="3" t="s">
        <v>152</v>
      </c>
      <c r="C31" s="13"/>
    </row>
    <row r="32">
      <c r="B32" s="3" t="s">
        <v>157</v>
      </c>
      <c r="C32" s="17"/>
    </row>
    <row r="33">
      <c r="B33" s="3" t="s">
        <v>158</v>
      </c>
      <c r="C33" s="18"/>
    </row>
    <row r="34">
      <c r="B34" s="3" t="s">
        <v>159</v>
      </c>
      <c r="C34" s="19"/>
    </row>
    <row r="35">
      <c r="B35" s="3" t="s">
        <v>164</v>
      </c>
      <c r="C35" s="24"/>
    </row>
    <row r="36">
      <c r="B36" s="3" t="s">
        <v>165</v>
      </c>
      <c r="C36" s="25"/>
    </row>
    <row r="37">
      <c r="B37" s="3" t="s">
        <v>163</v>
      </c>
      <c r="C37" s="23"/>
    </row>
    <row r="38">
      <c r="B38" s="3" t="s">
        <v>34</v>
      </c>
      <c r="C38" s="26"/>
    </row>
    <row r="39">
      <c r="B39" s="3" t="s">
        <v>167</v>
      </c>
      <c r="C39" s="16"/>
    </row>
    <row r="40">
      <c r="B40" s="3" t="s">
        <v>168</v>
      </c>
      <c r="C40" s="15"/>
    </row>
    <row r="41">
      <c r="B41" s="3" t="s">
        <v>169</v>
      </c>
      <c r="C41" s="27"/>
    </row>
    <row r="42">
      <c r="B42" s="3" t="s">
        <v>146</v>
      </c>
      <c r="C42" s="7"/>
    </row>
    <row r="43">
      <c r="B43" s="3" t="s">
        <v>170</v>
      </c>
      <c r="C43" s="28"/>
    </row>
    <row r="46">
      <c r="A46" s="3" t="s">
        <v>171</v>
      </c>
      <c r="B46" s="3" t="s">
        <v>152</v>
      </c>
      <c r="C46" s="13"/>
    </row>
    <row r="47">
      <c r="B47" s="3" t="s">
        <v>157</v>
      </c>
      <c r="C47" s="17"/>
    </row>
    <row r="48">
      <c r="B48" s="3" t="s">
        <v>158</v>
      </c>
      <c r="C48" s="18"/>
    </row>
    <row r="49">
      <c r="B49" s="3" t="s">
        <v>159</v>
      </c>
      <c r="C49" s="19"/>
    </row>
    <row r="50">
      <c r="B50" s="3" t="s">
        <v>164</v>
      </c>
      <c r="C50" s="24"/>
    </row>
    <row r="51">
      <c r="B51" s="3" t="s">
        <v>165</v>
      </c>
      <c r="C51" s="25"/>
    </row>
    <row r="52">
      <c r="B52" s="3" t="s">
        <v>163</v>
      </c>
      <c r="C52" s="23"/>
    </row>
    <row r="53">
      <c r="B53" s="3" t="s">
        <v>34</v>
      </c>
      <c r="C53" s="26"/>
    </row>
    <row r="54">
      <c r="B54" s="3" t="s">
        <v>167</v>
      </c>
      <c r="C54" s="16"/>
    </row>
    <row r="55">
      <c r="B55" s="3" t="s">
        <v>168</v>
      </c>
      <c r="C55" s="15"/>
    </row>
    <row r="56">
      <c r="B56" s="3" t="s">
        <v>169</v>
      </c>
      <c r="C56" s="27"/>
    </row>
    <row r="57">
      <c r="B57" s="3" t="s">
        <v>146</v>
      </c>
      <c r="C57" s="7"/>
    </row>
    <row r="58">
      <c r="B58" s="3" t="s">
        <v>172</v>
      </c>
      <c r="C58" s="29"/>
    </row>
    <row r="59">
      <c r="B59" s="3" t="s">
        <v>173</v>
      </c>
      <c r="C59" s="30"/>
    </row>
    <row r="60">
      <c r="B60" s="3" t="s">
        <v>174</v>
      </c>
      <c r="C60" s="28"/>
    </row>
  </sheetData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3.75"/>
    <col customWidth="1" min="2" max="2" width="16.63"/>
    <col customWidth="1" min="4" max="4" width="38.88"/>
  </cols>
  <sheetData>
    <row r="1">
      <c r="A1" s="31" t="s">
        <v>175</v>
      </c>
      <c r="B1" s="31" t="s">
        <v>176</v>
      </c>
      <c r="C1" s="31" t="s">
        <v>177</v>
      </c>
      <c r="D1" s="31" t="s">
        <v>3</v>
      </c>
    </row>
    <row r="2">
      <c r="A2" s="3" t="s">
        <v>178</v>
      </c>
      <c r="B2" s="3" t="s">
        <v>179</v>
      </c>
      <c r="C2" s="3" t="s">
        <v>180</v>
      </c>
    </row>
    <row r="3">
      <c r="A3" s="3" t="s">
        <v>181</v>
      </c>
      <c r="B3" s="3" t="s">
        <v>179</v>
      </c>
      <c r="C3" s="3" t="s">
        <v>182</v>
      </c>
    </row>
    <row r="4">
      <c r="A4" s="3" t="s">
        <v>183</v>
      </c>
      <c r="B4" s="3" t="s">
        <v>179</v>
      </c>
      <c r="C4" s="3" t="s">
        <v>184</v>
      </c>
    </row>
    <row r="5">
      <c r="A5" s="3" t="s">
        <v>185</v>
      </c>
      <c r="B5" s="3" t="s">
        <v>179</v>
      </c>
      <c r="C5" s="3" t="s">
        <v>182</v>
      </c>
    </row>
    <row r="6">
      <c r="A6" s="3" t="s">
        <v>186</v>
      </c>
      <c r="B6" s="3" t="s">
        <v>179</v>
      </c>
      <c r="C6" s="3" t="s">
        <v>182</v>
      </c>
    </row>
    <row r="7">
      <c r="A7" s="3" t="s">
        <v>187</v>
      </c>
      <c r="B7" s="3" t="s">
        <v>179</v>
      </c>
      <c r="C7" s="3" t="s">
        <v>182</v>
      </c>
    </row>
    <row r="8">
      <c r="A8" s="3" t="s">
        <v>188</v>
      </c>
      <c r="B8" s="3" t="s">
        <v>189</v>
      </c>
      <c r="C8" s="3" t="s">
        <v>190</v>
      </c>
      <c r="D8" s="3" t="s">
        <v>191</v>
      </c>
    </row>
    <row r="9">
      <c r="A9" s="3" t="s">
        <v>192</v>
      </c>
      <c r="B9" s="3" t="s">
        <v>189</v>
      </c>
      <c r="C9" s="3" t="s">
        <v>190</v>
      </c>
      <c r="D9" s="3" t="s">
        <v>191</v>
      </c>
    </row>
    <row r="10">
      <c r="A10" s="3" t="s">
        <v>193</v>
      </c>
      <c r="B10" s="3" t="s">
        <v>189</v>
      </c>
      <c r="C10" s="3" t="s">
        <v>190</v>
      </c>
      <c r="D10" s="3" t="s">
        <v>191</v>
      </c>
    </row>
    <row r="11">
      <c r="A11" s="3" t="s">
        <v>194</v>
      </c>
      <c r="B11" s="3" t="s">
        <v>195</v>
      </c>
      <c r="C11" s="3" t="s">
        <v>196</v>
      </c>
    </row>
    <row r="12">
      <c r="A12" s="3" t="s">
        <v>197</v>
      </c>
      <c r="B12" s="3" t="s">
        <v>189</v>
      </c>
      <c r="C12" s="3" t="s">
        <v>198</v>
      </c>
    </row>
    <row r="13">
      <c r="A13" s="3" t="s">
        <v>199</v>
      </c>
      <c r="B13" s="3" t="s">
        <v>195</v>
      </c>
      <c r="C13" s="3" t="s">
        <v>200</v>
      </c>
    </row>
    <row r="14">
      <c r="A14" s="3" t="s">
        <v>201</v>
      </c>
      <c r="B14" s="3" t="s">
        <v>202</v>
      </c>
      <c r="D14" s="3" t="s">
        <v>203</v>
      </c>
      <c r="E14" s="32" t="s">
        <v>204</v>
      </c>
    </row>
    <row r="15">
      <c r="A15" s="3" t="s">
        <v>205</v>
      </c>
      <c r="B15" s="3" t="s">
        <v>202</v>
      </c>
      <c r="D15" s="3" t="s">
        <v>203</v>
      </c>
    </row>
    <row r="16">
      <c r="A16" s="3" t="s">
        <v>206</v>
      </c>
      <c r="B16" s="3" t="s">
        <v>202</v>
      </c>
      <c r="D16" s="3" t="s">
        <v>203</v>
      </c>
    </row>
    <row r="18">
      <c r="A18" s="31" t="s">
        <v>207</v>
      </c>
      <c r="B18" s="31" t="s">
        <v>208</v>
      </c>
      <c r="C18" s="33"/>
      <c r="D18" s="31" t="s">
        <v>3</v>
      </c>
    </row>
    <row r="19">
      <c r="A19" s="3" t="s">
        <v>209</v>
      </c>
      <c r="B19" s="3">
        <v>3.0</v>
      </c>
    </row>
    <row r="20">
      <c r="A20" s="3" t="s">
        <v>210</v>
      </c>
      <c r="B20" s="3">
        <v>1.0</v>
      </c>
    </row>
    <row r="21">
      <c r="A21" s="3" t="s">
        <v>211</v>
      </c>
      <c r="B21" s="3">
        <v>1.0</v>
      </c>
    </row>
    <row r="22">
      <c r="A22" s="3" t="s">
        <v>212</v>
      </c>
      <c r="B22" s="3">
        <v>4.0</v>
      </c>
    </row>
    <row r="23">
      <c r="A23" s="3" t="s">
        <v>213</v>
      </c>
      <c r="B23" s="3">
        <v>2.0</v>
      </c>
    </row>
  </sheetData>
  <mergeCells count="1">
    <mergeCell ref="E14:E17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5.88"/>
    <col customWidth="1" min="6" max="6" width="37.25"/>
    <col customWidth="1" min="7" max="7" width="25.0"/>
    <col customWidth="1" min="9" max="9" width="27.13"/>
  </cols>
  <sheetData>
    <row r="1">
      <c r="A1" s="34" t="s">
        <v>214</v>
      </c>
      <c r="B1" s="35" t="s">
        <v>215</v>
      </c>
      <c r="C1" s="35" t="s">
        <v>216</v>
      </c>
      <c r="D1" s="34" t="s">
        <v>217</v>
      </c>
      <c r="E1" s="35" t="s">
        <v>218</v>
      </c>
      <c r="F1" s="34" t="s">
        <v>219</v>
      </c>
      <c r="G1" s="35" t="s">
        <v>220</v>
      </c>
      <c r="H1" s="34" t="s">
        <v>221</v>
      </c>
      <c r="I1" s="34" t="s">
        <v>222</v>
      </c>
    </row>
    <row r="2">
      <c r="A2" s="36">
        <v>1.0</v>
      </c>
      <c r="B2" s="37" t="s">
        <v>178</v>
      </c>
      <c r="C2" s="36">
        <v>1.0</v>
      </c>
      <c r="D2" s="37" t="s">
        <v>223</v>
      </c>
      <c r="E2" s="37" t="s">
        <v>224</v>
      </c>
      <c r="F2" s="37" t="s">
        <v>225</v>
      </c>
      <c r="G2" s="37" t="s">
        <v>226</v>
      </c>
      <c r="H2" s="37" t="s">
        <v>227</v>
      </c>
      <c r="I2" s="38"/>
    </row>
    <row r="3">
      <c r="A3" s="36">
        <v>2.0</v>
      </c>
      <c r="B3" s="37" t="s">
        <v>181</v>
      </c>
      <c r="C3" s="36">
        <v>2.0</v>
      </c>
      <c r="D3" s="37" t="s">
        <v>223</v>
      </c>
      <c r="E3" s="37" t="s">
        <v>224</v>
      </c>
      <c r="F3" s="37" t="s">
        <v>228</v>
      </c>
      <c r="G3" s="37" t="s">
        <v>226</v>
      </c>
      <c r="H3" s="37" t="s">
        <v>227</v>
      </c>
      <c r="I3" s="38"/>
    </row>
    <row r="4">
      <c r="A4" s="36">
        <v>3.0</v>
      </c>
      <c r="B4" s="37" t="s">
        <v>183</v>
      </c>
      <c r="C4" s="36">
        <v>1.0</v>
      </c>
      <c r="D4" s="37" t="s">
        <v>223</v>
      </c>
      <c r="E4" s="37" t="s">
        <v>224</v>
      </c>
      <c r="F4" s="37" t="s">
        <v>229</v>
      </c>
      <c r="G4" s="37" t="s">
        <v>226</v>
      </c>
      <c r="H4" s="37" t="s">
        <v>227</v>
      </c>
      <c r="I4" s="38"/>
    </row>
    <row r="5">
      <c r="A5" s="36">
        <v>4.0</v>
      </c>
      <c r="B5" s="37" t="s">
        <v>185</v>
      </c>
      <c r="C5" s="36">
        <v>1.0</v>
      </c>
      <c r="D5" s="37" t="s">
        <v>223</v>
      </c>
      <c r="E5" s="37" t="s">
        <v>224</v>
      </c>
      <c r="F5" s="37" t="s">
        <v>228</v>
      </c>
      <c r="G5" s="37" t="s">
        <v>226</v>
      </c>
      <c r="H5" s="37" t="s">
        <v>227</v>
      </c>
      <c r="I5" s="38"/>
    </row>
    <row r="6">
      <c r="A6" s="36">
        <v>5.0</v>
      </c>
      <c r="B6" s="37" t="s">
        <v>186</v>
      </c>
      <c r="C6" s="36">
        <v>1.0</v>
      </c>
      <c r="D6" s="37" t="s">
        <v>223</v>
      </c>
      <c r="E6" s="37" t="s">
        <v>224</v>
      </c>
      <c r="F6" s="37" t="s">
        <v>228</v>
      </c>
      <c r="G6" s="37" t="s">
        <v>226</v>
      </c>
      <c r="H6" s="37" t="s">
        <v>227</v>
      </c>
      <c r="I6" s="38"/>
    </row>
    <row r="7">
      <c r="A7" s="36">
        <v>6.0</v>
      </c>
      <c r="B7" s="37" t="s">
        <v>187</v>
      </c>
      <c r="C7" s="36">
        <v>2.0</v>
      </c>
      <c r="D7" s="37" t="s">
        <v>223</v>
      </c>
      <c r="E7" s="37" t="s">
        <v>224</v>
      </c>
      <c r="F7" s="37" t="s">
        <v>228</v>
      </c>
      <c r="G7" s="37" t="s">
        <v>226</v>
      </c>
      <c r="H7" s="37" t="s">
        <v>227</v>
      </c>
      <c r="I7" s="38"/>
    </row>
    <row r="8">
      <c r="A8" s="36">
        <v>7.0</v>
      </c>
      <c r="B8" s="37" t="s">
        <v>188</v>
      </c>
      <c r="C8" s="36">
        <v>1.0</v>
      </c>
      <c r="D8" s="37" t="s">
        <v>223</v>
      </c>
      <c r="E8" s="37" t="s">
        <v>224</v>
      </c>
      <c r="F8" s="37" t="s">
        <v>230</v>
      </c>
      <c r="G8" s="37" t="s">
        <v>231</v>
      </c>
      <c r="H8" s="37" t="s">
        <v>227</v>
      </c>
      <c r="I8" s="38"/>
    </row>
    <row r="9">
      <c r="A9" s="36">
        <v>8.0</v>
      </c>
      <c r="B9" s="37" t="s">
        <v>192</v>
      </c>
      <c r="C9" s="36">
        <v>2.0</v>
      </c>
      <c r="D9" s="37" t="s">
        <v>223</v>
      </c>
      <c r="E9" s="37" t="s">
        <v>224</v>
      </c>
      <c r="F9" s="37" t="s">
        <v>230</v>
      </c>
      <c r="G9" s="37" t="s">
        <v>231</v>
      </c>
      <c r="H9" s="37" t="s">
        <v>227</v>
      </c>
      <c r="I9" s="38"/>
    </row>
    <row r="10">
      <c r="A10" s="36">
        <v>9.0</v>
      </c>
      <c r="B10" s="37" t="s">
        <v>193</v>
      </c>
      <c r="C10" s="36">
        <v>1.0</v>
      </c>
      <c r="D10" s="37" t="s">
        <v>223</v>
      </c>
      <c r="E10" s="37" t="s">
        <v>224</v>
      </c>
      <c r="F10" s="37" t="s">
        <v>230</v>
      </c>
      <c r="G10" s="37" t="s">
        <v>231</v>
      </c>
      <c r="H10" s="37" t="s">
        <v>227</v>
      </c>
      <c r="I10" s="38"/>
    </row>
    <row r="11">
      <c r="A11" s="36">
        <v>10.0</v>
      </c>
      <c r="B11" s="37" t="s">
        <v>194</v>
      </c>
      <c r="C11" s="36">
        <v>1.0</v>
      </c>
      <c r="D11" s="37" t="s">
        <v>223</v>
      </c>
      <c r="E11" s="37" t="s">
        <v>224</v>
      </c>
      <c r="F11" s="37" t="s">
        <v>232</v>
      </c>
      <c r="G11" s="37" t="s">
        <v>233</v>
      </c>
      <c r="H11" s="37" t="s">
        <v>227</v>
      </c>
      <c r="I11" s="38"/>
    </row>
    <row r="12">
      <c r="A12" s="36">
        <v>11.0</v>
      </c>
      <c r="B12" s="37" t="s">
        <v>197</v>
      </c>
      <c r="C12" s="36">
        <v>2.0</v>
      </c>
      <c r="D12" s="37" t="s">
        <v>223</v>
      </c>
      <c r="E12" s="37" t="s">
        <v>224</v>
      </c>
      <c r="F12" s="37" t="s">
        <v>234</v>
      </c>
      <c r="G12" s="37" t="s">
        <v>231</v>
      </c>
      <c r="H12" s="37" t="s">
        <v>227</v>
      </c>
      <c r="I12" s="38"/>
    </row>
    <row r="13">
      <c r="A13" s="36">
        <v>12.0</v>
      </c>
      <c r="B13" s="37" t="s">
        <v>199</v>
      </c>
      <c r="C13" s="36">
        <v>1.0</v>
      </c>
      <c r="D13" s="37" t="s">
        <v>223</v>
      </c>
      <c r="E13" s="37" t="s">
        <v>224</v>
      </c>
      <c r="F13" s="37" t="s">
        <v>235</v>
      </c>
      <c r="G13" s="37" t="s">
        <v>233</v>
      </c>
      <c r="H13" s="37" t="s">
        <v>227</v>
      </c>
      <c r="I13" s="38"/>
    </row>
    <row r="14">
      <c r="A14" s="36">
        <v>13.0</v>
      </c>
      <c r="B14" s="37" t="s">
        <v>201</v>
      </c>
      <c r="C14" s="36">
        <v>1.0</v>
      </c>
      <c r="D14" s="37" t="s">
        <v>236</v>
      </c>
      <c r="E14" s="37" t="s">
        <v>237</v>
      </c>
      <c r="F14" s="37" t="s">
        <v>238</v>
      </c>
      <c r="G14" s="37" t="s">
        <v>239</v>
      </c>
      <c r="H14" s="37" t="s">
        <v>227</v>
      </c>
      <c r="I14" s="37" t="s">
        <v>240</v>
      </c>
    </row>
    <row r="15">
      <c r="A15" s="36">
        <v>14.0</v>
      </c>
      <c r="B15" s="37" t="s">
        <v>205</v>
      </c>
      <c r="C15" s="36">
        <v>1.0</v>
      </c>
      <c r="D15" s="37" t="s">
        <v>236</v>
      </c>
      <c r="E15" s="37" t="s">
        <v>237</v>
      </c>
      <c r="F15" s="37" t="s">
        <v>238</v>
      </c>
      <c r="G15" s="37" t="s">
        <v>239</v>
      </c>
      <c r="H15" s="37" t="s">
        <v>227</v>
      </c>
      <c r="I15" s="37" t="s">
        <v>240</v>
      </c>
    </row>
    <row r="16">
      <c r="A16" s="36">
        <v>15.0</v>
      </c>
      <c r="B16" s="37" t="s">
        <v>206</v>
      </c>
      <c r="C16" s="36">
        <v>1.0</v>
      </c>
      <c r="D16" s="37" t="s">
        <v>236</v>
      </c>
      <c r="E16" s="37" t="s">
        <v>237</v>
      </c>
      <c r="F16" s="37" t="s">
        <v>238</v>
      </c>
      <c r="G16" s="37" t="s">
        <v>239</v>
      </c>
      <c r="H16" s="37" t="s">
        <v>227</v>
      </c>
      <c r="I16" s="37" t="s">
        <v>240</v>
      </c>
    </row>
    <row r="17">
      <c r="A17" s="36">
        <v>16.0</v>
      </c>
      <c r="B17" s="37" t="s">
        <v>241</v>
      </c>
      <c r="C17" s="36">
        <v>2.0</v>
      </c>
      <c r="D17" s="37" t="s">
        <v>223</v>
      </c>
      <c r="E17" s="37" t="s">
        <v>224</v>
      </c>
      <c r="F17" s="39" t="s">
        <v>242</v>
      </c>
      <c r="G17" s="37" t="s">
        <v>243</v>
      </c>
      <c r="H17" s="37" t="s">
        <v>227</v>
      </c>
      <c r="I17" s="38"/>
    </row>
    <row r="18">
      <c r="A18" s="36">
        <v>17.0</v>
      </c>
      <c r="B18" s="37" t="s">
        <v>244</v>
      </c>
      <c r="C18" s="36">
        <v>1.0</v>
      </c>
      <c r="D18" s="37" t="s">
        <v>223</v>
      </c>
      <c r="E18" s="37" t="s">
        <v>224</v>
      </c>
      <c r="F18" s="37" t="s">
        <v>245</v>
      </c>
      <c r="G18" s="37" t="s">
        <v>243</v>
      </c>
      <c r="H18" s="37" t="s">
        <v>227</v>
      </c>
      <c r="I18" s="38"/>
    </row>
    <row r="19">
      <c r="A19" s="36">
        <v>18.0</v>
      </c>
      <c r="B19" s="37" t="s">
        <v>246</v>
      </c>
      <c r="C19" s="36">
        <v>1.0</v>
      </c>
      <c r="D19" s="37" t="s">
        <v>223</v>
      </c>
      <c r="E19" s="37" t="s">
        <v>224</v>
      </c>
      <c r="F19" s="37" t="s">
        <v>247</v>
      </c>
      <c r="G19" s="37" t="s">
        <v>243</v>
      </c>
      <c r="H19" s="37" t="s">
        <v>227</v>
      </c>
      <c r="I19" s="3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